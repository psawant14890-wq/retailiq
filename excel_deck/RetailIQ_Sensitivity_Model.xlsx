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Sensitivity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RetailIQ sql/02_analysis.sql Q4 (delivery performance by state), computed from Olist Brazilian E-Commerce dataset, orders with status='delivered'.</t>
        </r>
      </text>
    </comment>
    <comment ref="B13" authorId="0">
      <text>
        <r>
          <rPr>
            <sz val="10"/>
            <rFont val="Arial"/>
            <family val="2"/>
          </rPr>
          <t xml:space="preserve">Source: sql/02_analysis.sql — national avg across all delivered orders, n=96,470.</t>
        </r>
      </text>
    </comment>
    <comment ref="B14" authorId="0">
      <text>
        <r>
          <rPr>
            <sz val="10"/>
            <rFont val="Arial"/>
            <family val="2"/>
          </rPr>
          <t xml:space="preserve">Source: sql/02_analysis.sql Q4 full state ranking — RO is the best-performing state nationally.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Hardcoded -5pp, intentionally independent of the Custom Scenario's interactive input cell (Assumptions!B17) so this stays a fixed benchmark for comparison.</t>
        </r>
      </text>
    </comment>
  </commentList>
</comments>
</file>

<file path=xl/sharedStrings.xml><?xml version="1.0" encoding="utf-8"?>
<sst xmlns="http://schemas.openxmlformats.org/spreadsheetml/2006/main" count="87" uniqueCount="58">
  <si>
    <t xml:space="preserve">RetailIQ — Executive Summary</t>
  </si>
  <si>
    <t xml:space="preserve">E-Commerce Revenue &amp; Delivery Performance Analytics | Olist Brazilian E-Commerce Dataset</t>
  </si>
  <si>
    <t xml:space="preserve">Situation</t>
  </si>
  <si>
    <t xml:space="preserve">Olist is a multi-seller e-commerce marketplace connecting ~3,000 small sellers to customers across Brazil. Revenue grew from R$280 in Sept 2016 to a peak of over R$1.17M/month by Nov 2017.</t>
  </si>
  <si>
    <t xml:space="preserve">Complication</t>
  </si>
  <si>
    <t xml:space="preserve">Delivery delays are strongly associated with customer dissatisfaction. Orders delivered on time average a 4.28/5 review score; orders delivered 7+ days late average just 1.73/5. R$607,588 in revenue is tied to orders in this severe-delay bucket, concentrated disproportionately in 4 states.</t>
  </si>
  <si>
    <t xml:space="preserve">Recommendation</t>
  </si>
  <si>
    <t xml:space="preserve">Prioritize logistics intervention in AL, MA, PI, and CE (the 4 worst-performing states, all &gt;15% late-delivery rate) rather than a blanket logistics overhaul. Even the conservative scenario (a 5-point improvement) protects ~R$30,700 in revenue — the recommendation holds under a pessimistic assumption, not just the best case.</t>
  </si>
  <si>
    <t xml:space="preserve">Key Metrics</t>
  </si>
  <si>
    <t xml:space="preserve">Total Revenue</t>
  </si>
  <si>
    <t xml:space="preserve">Late Delivery Rate</t>
  </si>
  <si>
    <t xml:space="preserve">Avg Review Score</t>
  </si>
  <si>
    <t xml:space="preserve">Revenue at Risk (7+ Days Late)</t>
  </si>
  <si>
    <t xml:space="preserve">R$ 15.84M</t>
  </si>
  <si>
    <t xml:space="preserve">8.1%</t>
  </si>
  <si>
    <t xml:space="preserve">4.07 / 5</t>
  </si>
  <si>
    <t xml:space="preserve">R$ 607.6K</t>
  </si>
  <si>
    <t xml:space="preserve">Sensitivity Summary — Revenue Protected by Scenario</t>
  </si>
  <si>
    <t xml:space="preserve">Scenario</t>
  </si>
  <si>
    <t xml:space="preserve">Target Approach</t>
  </si>
  <si>
    <t xml:space="preserve">Orders Shifted to On-Time</t>
  </si>
  <si>
    <t xml:space="preserve">Revenue Protected (R$)</t>
  </si>
  <si>
    <t xml:space="preserve">Conservative</t>
  </si>
  <si>
    <t xml:space="preserve">Each state improves 5pp</t>
  </si>
  <si>
    <t xml:space="preserve">Moderate</t>
  </si>
  <si>
    <t xml:space="preserve">All 4 states reach national avg (8.11%)</t>
  </si>
  <si>
    <t xml:space="preserve">Optimistic</t>
  </si>
  <si>
    <t xml:space="preserve">All 4 states match best state (2.9%)</t>
  </si>
  <si>
    <t xml:space="preserve">Note: this table updates automatically if you change the yellow input cell on the Assumptions sheet.</t>
  </si>
  <si>
    <t xml:space="preserve">RetailIQ — Sensitivity Model: Assumptions &amp; Inputs</t>
  </si>
  <si>
    <t xml:space="preserve">All blue cells are hardcoded inputs sourced from real Olist data. Black cells are formulas.</t>
  </si>
  <si>
    <t xml:space="preserve">State-Level Delivery Performance (4 worst-performing states)</t>
  </si>
  <si>
    <t xml:space="preserve">State</t>
  </si>
  <si>
    <t xml:space="preserve">Total Orders</t>
  </si>
  <si>
    <t xml:space="preserve">Late Orders</t>
  </si>
  <si>
    <t xml:space="preserve">Current Late %</t>
  </si>
  <si>
    <t xml:space="preserve">Total Revenue (R$)</t>
  </si>
  <si>
    <t xml:space="preserve">Avg Order Value (R$)</t>
  </si>
  <si>
    <t xml:space="preserve">AL</t>
  </si>
  <si>
    <t xml:space="preserve">MA</t>
  </si>
  <si>
    <t xml:space="preserve">PI</t>
  </si>
  <si>
    <t xml:space="preserve">CE</t>
  </si>
  <si>
    <t xml:space="preserve">TOTAL / BLENDED</t>
  </si>
  <si>
    <t xml:space="preserve">Benchmark Late-Delivery Rates</t>
  </si>
  <si>
    <t xml:space="preserve">National average late-delivery rate</t>
  </si>
  <si>
    <t xml:space="preserve">Best-performing state (Roraima/RO) late rate</t>
  </si>
  <si>
    <t xml:space="preserve">Custom Scenario Input (change this to test any improvement level)</t>
  </si>
  <si>
    <t xml:space="preserve">Percentage-point reduction in late rate (per state)</t>
  </si>
  <si>
    <t xml:space="preserve">← Change this number; the Sensitivity Model sheet recalculates automatically</t>
  </si>
  <si>
    <t xml:space="preserve">RetailIQ — Sensitivity Analysis: Revenue Protected Under 3 Scenarios</t>
  </si>
  <si>
    <t xml:space="preserve">Green cells link to Assumptions sheet. Black cells are calculated formulas — change any blue input on Assumptions to see this recalculate.</t>
  </si>
  <si>
    <t xml:space="preserve">Scenario 1: Conservative — each state improves by a FIXED 5 percentage points (benchmark, does not change with the custom input below)</t>
  </si>
  <si>
    <t xml:space="preserve">Target Late %</t>
  </si>
  <si>
    <t xml:space="preserve">Orders Shifted</t>
  </si>
  <si>
    <t xml:space="preserve">TOTAL</t>
  </si>
  <si>
    <t xml:space="preserve">Scenario 2: Moderate — all 4 states reach the national average late rate</t>
  </si>
  <si>
    <t xml:space="preserve">Scenario 3: Optimistic — all 4 states match the best-performing state (Roraima)</t>
  </si>
  <si>
    <t xml:space="preserve">Custom Scenario — driven by the yellow input cell on the Assumptions sheet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</si>
</sst>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$&quot;#,##0.00"/>
    <numFmt numFmtId="167" formatCode="0.0%"/>
    <numFmt numFmtId="168" formatCode="General"/>
    <numFmt numFmtId="169" formatCode="0.00%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63B"/>
      <name val="Arial"/>
      <family val="0"/>
      <charset val="1"/>
    </font>
    <font>
      <i val="true"/>
      <sz val="11"/>
      <color rgb="FF415A77"/>
      <name val="Arial"/>
      <family val="0"/>
      <charset val="1"/>
    </font>
    <font>
      <b val="true"/>
      <sz val="13"/>
      <color rgb="FF1B263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B263B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1B263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0F4F8"/>
        <bgColor rgb="FFE8EEF4"/>
      </patternFill>
    </fill>
    <fill>
      <patternFill patternType="solid">
        <fgColor rgb="FF1B263B"/>
        <bgColor rgb="FF003366"/>
      </patternFill>
    </fill>
    <fill>
      <patternFill patternType="solid">
        <fgColor rgb="FFE8EEF4"/>
        <bgColor rgb="FFF0F4F8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FF4D6"/>
      </patternFill>
    </fill>
    <fill>
      <patternFill patternType="solid">
        <fgColor rgb="FFD9D9D9"/>
        <bgColor rgb="FFDCE6F1"/>
      </patternFill>
    </fill>
    <fill>
      <patternFill patternType="solid">
        <fgColor rgb="FFFFF4D6"/>
        <bgColor rgb="FFFCE4E4"/>
      </patternFill>
    </fill>
    <fill>
      <patternFill patternType="solid">
        <fgColor rgb="FFE2F0D9"/>
        <bgColor rgb="FFE8EEF4"/>
      </patternFill>
    </fill>
    <fill>
      <patternFill patternType="solid">
        <fgColor rgb="FFDCE6F1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4D6"/>
      <rgbColor rgb="FFE8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E2F0D9"/>
      <rgbColor rgb="FFDCE6F1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15A77"/>
      <rgbColor rgb="FF1B26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4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7" customFormat="false" ht="15.75" hidden="false" customHeight="true" outlineLevel="0" collapsed="false">
      <c r="A7" s="4" t="s">
        <v>4</v>
      </c>
    </row>
    <row r="8" customFormat="false" ht="4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</row>
    <row r="10" customFormat="false" ht="15.75" hidden="false" customHeight="true" outlineLevel="0" collapsed="false">
      <c r="A10" s="4" t="s">
        <v>6</v>
      </c>
    </row>
    <row r="11" customFormat="false" ht="45" hidden="false" customHeight="true" outlineLevel="0" collapsed="false">
      <c r="A11" s="5" t="s">
        <v>7</v>
      </c>
      <c r="B11" s="5"/>
      <c r="C11" s="5"/>
      <c r="D11" s="5"/>
      <c r="E11" s="5"/>
      <c r="F11" s="5"/>
      <c r="G11" s="5"/>
      <c r="H11" s="5"/>
    </row>
    <row r="13" customFormat="false" ht="15.75" hidden="false" customHeight="true" outlineLevel="0" collapsed="false">
      <c r="A13" s="4" t="s">
        <v>8</v>
      </c>
    </row>
    <row r="14" customFormat="false" ht="15" hidden="false" customHeight="true" outlineLevel="0" collapsed="false">
      <c r="B14" s="6" t="s">
        <v>9</v>
      </c>
      <c r="D14" s="6" t="s">
        <v>10</v>
      </c>
      <c r="F14" s="6" t="s">
        <v>11</v>
      </c>
      <c r="H14" s="6" t="s">
        <v>12</v>
      </c>
    </row>
    <row r="15" customFormat="false" ht="27.75" hidden="false" customHeight="true" outlineLevel="0" collapsed="false">
      <c r="B15" s="7" t="s">
        <v>13</v>
      </c>
      <c r="D15" s="7" t="s">
        <v>14</v>
      </c>
      <c r="F15" s="7" t="s">
        <v>15</v>
      </c>
      <c r="H15" s="8" t="s">
        <v>16</v>
      </c>
    </row>
    <row r="18" customFormat="false" ht="15.75" hidden="false" customHeight="true" outlineLevel="0" collapsed="false">
      <c r="A18" s="4" t="s">
        <v>17</v>
      </c>
    </row>
    <row r="19" customFormat="false" ht="15" hidden="false" customHeight="true" outlineLevel="0" collapsed="false">
      <c r="A19" s="9" t="s">
        <v>18</v>
      </c>
      <c r="B19" s="9" t="s">
        <v>19</v>
      </c>
      <c r="C19" s="9" t="s">
        <v>20</v>
      </c>
      <c r="D19" s="9" t="s">
        <v>21</v>
      </c>
    </row>
    <row r="20" customFormat="false" ht="15" hidden="false" customHeight="true" outlineLevel="0" collapsed="false">
      <c r="A20" s="10" t="s">
        <v>22</v>
      </c>
      <c r="B20" s="11" t="s">
        <v>23</v>
      </c>
      <c r="C20" s="12" t="n">
        <f aca="false">'Sensitivity Model'!F10</f>
        <v>158.8</v>
      </c>
      <c r="D20" s="13" t="n">
        <f aca="false">'Sensitivity Model'!G10</f>
        <v>30679.55</v>
      </c>
    </row>
    <row r="21" customFormat="false" ht="15" hidden="false" customHeight="true" outlineLevel="0" collapsed="false">
      <c r="A21" s="10" t="s">
        <v>24</v>
      </c>
      <c r="B21" s="11" t="s">
        <v>25</v>
      </c>
      <c r="C21" s="12" t="n">
        <f aca="false">'Sensitivity Model'!F19</f>
        <v>307.4264</v>
      </c>
      <c r="D21" s="13" t="n">
        <f aca="false">'Sensitivity Model'!G19</f>
        <v>59393.5995599496</v>
      </c>
    </row>
    <row r="22" customFormat="false" ht="15" hidden="false" customHeight="true" outlineLevel="0" collapsed="false">
      <c r="A22" s="10" t="s">
        <v>26</v>
      </c>
      <c r="B22" s="11" t="s">
        <v>27</v>
      </c>
      <c r="C22" s="12" t="n">
        <f aca="false">'Sensitivity Model'!F28</f>
        <v>472.896</v>
      </c>
      <c r="D22" s="13" t="n">
        <f aca="false">'Sensitivity Model'!G28</f>
        <v>91361.6906599496</v>
      </c>
    </row>
    <row r="24" customFormat="false" ht="15" hidden="false" customHeight="true" outlineLevel="0" collapsed="false">
      <c r="A24" s="14" t="s">
        <v>28</v>
      </c>
    </row>
  </sheetData>
  <mergeCells count="3">
    <mergeCell ref="A5:H5"/>
    <mergeCell ref="A8:H8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6" min="5" style="1" width="20"/>
  </cols>
  <sheetData>
    <row r="1" customFormat="false" ht="19.5" hidden="false" customHeight="true" outlineLevel="0" collapsed="false">
      <c r="A1" s="15" t="s">
        <v>29</v>
      </c>
    </row>
    <row r="2" customFormat="false" ht="15" hidden="false" customHeight="true" outlineLevel="0" collapsed="false">
      <c r="A2" s="3" t="s">
        <v>30</v>
      </c>
    </row>
    <row r="4" customFormat="false" ht="15" hidden="false" customHeight="true" outlineLevel="0" collapsed="false">
      <c r="A4" s="16" t="s">
        <v>31</v>
      </c>
    </row>
    <row r="5" customFormat="false" ht="15" hidden="false" customHeight="true" outlineLevel="0" collapsed="false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</row>
    <row r="6" customFormat="false" ht="15" hidden="false" customHeight="true" outlineLevel="0" collapsed="false">
      <c r="A6" s="17" t="s">
        <v>38</v>
      </c>
      <c r="B6" s="17" t="n">
        <v>427</v>
      </c>
      <c r="C6" s="17" t="n">
        <v>103</v>
      </c>
      <c r="D6" s="18" t="n">
        <f aca="false">C6/B6</f>
        <v>0.241217798594848</v>
      </c>
      <c r="E6" s="17" t="n">
        <v>94172.49</v>
      </c>
      <c r="F6" s="19" t="n">
        <f aca="false">E6/B6</f>
        <v>220.544473067916</v>
      </c>
    </row>
    <row r="7" customFormat="false" ht="15" hidden="false" customHeight="true" outlineLevel="0" collapsed="false">
      <c r="A7" s="17" t="s">
        <v>39</v>
      </c>
      <c r="B7" s="17" t="n">
        <v>800</v>
      </c>
      <c r="C7" s="17" t="n">
        <v>163</v>
      </c>
      <c r="D7" s="18" t="n">
        <f aca="false">C7/B7</f>
        <v>0.20375</v>
      </c>
      <c r="E7" s="17" t="n">
        <v>147803.55</v>
      </c>
      <c r="F7" s="19" t="n">
        <f aca="false">E7/B7</f>
        <v>184.7544375</v>
      </c>
    </row>
    <row r="8" customFormat="false" ht="15" hidden="false" customHeight="true" outlineLevel="0" collapsed="false">
      <c r="A8" s="17" t="s">
        <v>40</v>
      </c>
      <c r="B8" s="17" t="n">
        <v>523</v>
      </c>
      <c r="C8" s="17" t="n">
        <v>81</v>
      </c>
      <c r="D8" s="18" t="n">
        <f aca="false">C8/B8</f>
        <v>0.154875717017208</v>
      </c>
      <c r="E8" s="17" t="n">
        <v>105178.19</v>
      </c>
      <c r="F8" s="19" t="n">
        <f aca="false">E8/B8</f>
        <v>201.10552581262</v>
      </c>
    </row>
    <row r="9" customFormat="false" ht="15" hidden="false" customHeight="true" outlineLevel="0" collapsed="false">
      <c r="A9" s="17" t="s">
        <v>41</v>
      </c>
      <c r="B9" s="17" t="n">
        <v>1426</v>
      </c>
      <c r="C9" s="17" t="n">
        <v>218</v>
      </c>
      <c r="D9" s="18" t="n">
        <f aca="false">C9/B9</f>
        <v>0.152875175315568</v>
      </c>
      <c r="E9" s="17" t="n">
        <v>266436.77</v>
      </c>
      <c r="F9" s="19" t="n">
        <f aca="false">E9/B9</f>
        <v>186.842054698457</v>
      </c>
    </row>
    <row r="10" customFormat="false" ht="15" hidden="false" customHeight="true" outlineLevel="0" collapsed="false">
      <c r="A10" s="20" t="s">
        <v>42</v>
      </c>
      <c r="B10" s="21" t="n">
        <f aca="false">SUM(B6:B9)</f>
        <v>3176</v>
      </c>
      <c r="C10" s="21" t="n">
        <f aca="false">SUM(C6:C9)</f>
        <v>565</v>
      </c>
      <c r="D10" s="22" t="n">
        <f aca="false">C10/B10</f>
        <v>0.177896725440806</v>
      </c>
      <c r="E10" s="23" t="n">
        <f aca="false">SUM(E6:E9)</f>
        <v>613591</v>
      </c>
      <c r="F10" s="23" t="n">
        <f aca="false">E10/B10</f>
        <v>193.196158690176</v>
      </c>
    </row>
    <row r="12" customFormat="false" ht="15" hidden="false" customHeight="true" outlineLevel="0" collapsed="false">
      <c r="A12" s="16" t="s">
        <v>43</v>
      </c>
    </row>
    <row r="13" customFormat="false" ht="15" hidden="false" customHeight="true" outlineLevel="0" collapsed="false">
      <c r="A13" s="1" t="s">
        <v>44</v>
      </c>
      <c r="B13" s="24" t="n">
        <v>0.0811</v>
      </c>
    </row>
    <row r="14" customFormat="false" ht="15" hidden="false" customHeight="true" outlineLevel="0" collapsed="false">
      <c r="A14" s="1" t="s">
        <v>45</v>
      </c>
      <c r="B14" s="24" t="n">
        <v>0.029</v>
      </c>
    </row>
    <row r="16" customFormat="false" ht="15" hidden="false" customHeight="true" outlineLevel="0" collapsed="false">
      <c r="A16" s="16" t="s">
        <v>46</v>
      </c>
    </row>
    <row r="17" customFormat="false" ht="15" hidden="false" customHeight="true" outlineLevel="0" collapsed="false">
      <c r="A17" s="1" t="s">
        <v>47</v>
      </c>
      <c r="B17" s="25" t="n">
        <v>5</v>
      </c>
      <c r="C17" s="1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0"/>
  </cols>
  <sheetData>
    <row r="1" customFormat="false" ht="19.5" hidden="false" customHeight="true" outlineLevel="0" collapsed="false">
      <c r="A1" s="15" t="s">
        <v>49</v>
      </c>
    </row>
    <row r="2" customFormat="false" ht="15" hidden="false" customHeight="true" outlineLevel="0" collapsed="false">
      <c r="A2" s="3" t="s">
        <v>50</v>
      </c>
    </row>
    <row r="4" customFormat="false" ht="15" hidden="false" customHeight="true" outlineLevel="0" collapsed="false">
      <c r="A4" s="16" t="s">
        <v>51</v>
      </c>
    </row>
    <row r="5" customFormat="false" ht="15" hidden="false" customHeight="true" outlineLevel="0" collapsed="false">
      <c r="A5" s="9" t="s">
        <v>32</v>
      </c>
      <c r="B5" s="9" t="s">
        <v>33</v>
      </c>
      <c r="C5" s="9" t="s">
        <v>34</v>
      </c>
      <c r="D5" s="9" t="s">
        <v>35</v>
      </c>
      <c r="E5" s="9" t="s">
        <v>52</v>
      </c>
      <c r="F5" s="9" t="s">
        <v>53</v>
      </c>
      <c r="G5" s="9" t="s">
        <v>21</v>
      </c>
    </row>
    <row r="6" customFormat="false" ht="15" hidden="false" customHeight="true" outlineLevel="0" collapsed="false">
      <c r="A6" s="26" t="str">
        <f aca="false">Assumptions!A6</f>
        <v>AL</v>
      </c>
      <c r="B6" s="26" t="n">
        <f aca="false">Assumptions!B6</f>
        <v>427</v>
      </c>
      <c r="C6" s="26" t="n">
        <f aca="false">Assumptions!C6</f>
        <v>103</v>
      </c>
      <c r="D6" s="27" t="n">
        <f aca="false">Assumptions!D6</f>
        <v>0.241217798594848</v>
      </c>
      <c r="E6" s="28" t="n">
        <f aca="false">MAX(D6-0.05,0)</f>
        <v>0.191217798594848</v>
      </c>
      <c r="F6" s="29" t="n">
        <f aca="false">MAX(C6-B6*E6,0)</f>
        <v>21.35</v>
      </c>
      <c r="G6" s="30" t="n">
        <f aca="false">F6*Assumptions!$F$10</f>
        <v>4124.73798803526</v>
      </c>
    </row>
    <row r="7" customFormat="false" ht="15" hidden="false" customHeight="true" outlineLevel="0" collapsed="false">
      <c r="A7" s="26" t="str">
        <f aca="false">Assumptions!A7</f>
        <v>MA</v>
      </c>
      <c r="B7" s="26" t="n">
        <f aca="false">Assumptions!B7</f>
        <v>800</v>
      </c>
      <c r="C7" s="26" t="n">
        <f aca="false">Assumptions!C7</f>
        <v>163</v>
      </c>
      <c r="D7" s="27" t="n">
        <f aca="false">Assumptions!D7</f>
        <v>0.20375</v>
      </c>
      <c r="E7" s="28" t="n">
        <f aca="false">MAX(D7-0.05,0)</f>
        <v>0.15375</v>
      </c>
      <c r="F7" s="29" t="n">
        <f aca="false">MAX(C7-B7*E7,0)</f>
        <v>40</v>
      </c>
      <c r="G7" s="30" t="n">
        <f aca="false">F7*Assumptions!$F$10</f>
        <v>7727.84634760705</v>
      </c>
    </row>
    <row r="8" customFormat="false" ht="15" hidden="false" customHeight="true" outlineLevel="0" collapsed="false">
      <c r="A8" s="26" t="str">
        <f aca="false">Assumptions!A8</f>
        <v>PI</v>
      </c>
      <c r="B8" s="26" t="n">
        <f aca="false">Assumptions!B8</f>
        <v>523</v>
      </c>
      <c r="C8" s="26" t="n">
        <f aca="false">Assumptions!C8</f>
        <v>81</v>
      </c>
      <c r="D8" s="27" t="n">
        <f aca="false">Assumptions!D8</f>
        <v>0.154875717017208</v>
      </c>
      <c r="E8" s="28" t="n">
        <f aca="false">MAX(D8-0.05,0)</f>
        <v>0.104875717017208</v>
      </c>
      <c r="F8" s="29" t="n">
        <f aca="false">MAX(C8-B8*E8,0)</f>
        <v>26.15</v>
      </c>
      <c r="G8" s="30" t="n">
        <f aca="false">F8*Assumptions!$F$10</f>
        <v>5052.07954974811</v>
      </c>
    </row>
    <row r="9" customFormat="false" ht="15" hidden="false" customHeight="true" outlineLevel="0" collapsed="false">
      <c r="A9" s="26" t="str">
        <f aca="false">Assumptions!A9</f>
        <v>CE</v>
      </c>
      <c r="B9" s="26" t="n">
        <f aca="false">Assumptions!B9</f>
        <v>1426</v>
      </c>
      <c r="C9" s="26" t="n">
        <f aca="false">Assumptions!C9</f>
        <v>218</v>
      </c>
      <c r="D9" s="27" t="n">
        <f aca="false">Assumptions!D9</f>
        <v>0.152875175315568</v>
      </c>
      <c r="E9" s="28" t="n">
        <f aca="false">MAX(D9-0.05,0)</f>
        <v>0.102875175315568</v>
      </c>
      <c r="F9" s="29" t="n">
        <f aca="false">MAX(C9-B9*E9,0)</f>
        <v>71.3</v>
      </c>
      <c r="G9" s="30" t="n">
        <f aca="false">F9*Assumptions!$F$10</f>
        <v>13774.8861146096</v>
      </c>
    </row>
    <row r="10" customFormat="false" ht="15" hidden="false" customHeight="true" outlineLevel="0" collapsed="false">
      <c r="A10" s="31" t="s">
        <v>54</v>
      </c>
      <c r="B10" s="32"/>
      <c r="C10" s="32"/>
      <c r="D10" s="32"/>
      <c r="E10" s="32"/>
      <c r="F10" s="33" t="n">
        <f aca="false">SUM(F6:F9)</f>
        <v>158.8</v>
      </c>
      <c r="G10" s="34" t="n">
        <f aca="false">SUM(G6:G9)</f>
        <v>30679.55</v>
      </c>
    </row>
    <row r="13" customFormat="false" ht="15" hidden="false" customHeight="true" outlineLevel="0" collapsed="false">
      <c r="A13" s="16" t="s">
        <v>55</v>
      </c>
    </row>
    <row r="14" customFormat="false" ht="15" hidden="false" customHeight="true" outlineLevel="0" collapsed="false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52</v>
      </c>
      <c r="F14" s="9" t="s">
        <v>53</v>
      </c>
      <c r="G14" s="9" t="s">
        <v>21</v>
      </c>
    </row>
    <row r="15" customFormat="false" ht="15" hidden="false" customHeight="true" outlineLevel="0" collapsed="false">
      <c r="A15" s="35" t="str">
        <f aca="false">Assumptions!A6</f>
        <v>AL</v>
      </c>
      <c r="B15" s="35" t="n">
        <f aca="false">Assumptions!B6</f>
        <v>427</v>
      </c>
      <c r="C15" s="35" t="n">
        <f aca="false">Assumptions!C6</f>
        <v>103</v>
      </c>
      <c r="D15" s="36" t="n">
        <f aca="false">Assumptions!D6</f>
        <v>0.241217798594848</v>
      </c>
      <c r="E15" s="37" t="n">
        <f aca="false">Assumptions!$B$13</f>
        <v>0.0811</v>
      </c>
      <c r="F15" s="38" t="n">
        <f aca="false">MAX(C15-B15*E15,0)</f>
        <v>68.3703</v>
      </c>
      <c r="G15" s="39" t="n">
        <f aca="false">F15*Assumptions!$F$10</f>
        <v>13208.879328495</v>
      </c>
    </row>
    <row r="16" customFormat="false" ht="15" hidden="false" customHeight="true" outlineLevel="0" collapsed="false">
      <c r="A16" s="35" t="str">
        <f aca="false">Assumptions!A7</f>
        <v>MA</v>
      </c>
      <c r="B16" s="35" t="n">
        <f aca="false">Assumptions!B7</f>
        <v>800</v>
      </c>
      <c r="C16" s="35" t="n">
        <f aca="false">Assumptions!C7</f>
        <v>163</v>
      </c>
      <c r="D16" s="36" t="n">
        <f aca="false">Assumptions!D7</f>
        <v>0.20375</v>
      </c>
      <c r="E16" s="37" t="n">
        <f aca="false">Assumptions!$B$13</f>
        <v>0.0811</v>
      </c>
      <c r="F16" s="38" t="n">
        <f aca="false">MAX(C16-B16*E16,0)</f>
        <v>98.12</v>
      </c>
      <c r="G16" s="39" t="n">
        <f aca="false">F16*Assumptions!$F$10</f>
        <v>18956.4070906801</v>
      </c>
    </row>
    <row r="17" customFormat="false" ht="15" hidden="false" customHeight="true" outlineLevel="0" collapsed="false">
      <c r="A17" s="35" t="str">
        <f aca="false">Assumptions!A8</f>
        <v>PI</v>
      </c>
      <c r="B17" s="35" t="n">
        <f aca="false">Assumptions!B8</f>
        <v>523</v>
      </c>
      <c r="C17" s="35" t="n">
        <f aca="false">Assumptions!C8</f>
        <v>81</v>
      </c>
      <c r="D17" s="36" t="n">
        <f aca="false">Assumptions!D8</f>
        <v>0.154875717017208</v>
      </c>
      <c r="E17" s="37" t="n">
        <f aca="false">Assumptions!$B$13</f>
        <v>0.0811</v>
      </c>
      <c r="F17" s="38" t="n">
        <f aca="false">MAX(C17-B17*E17,0)</f>
        <v>38.5847</v>
      </c>
      <c r="G17" s="39" t="n">
        <f aca="false">F17*Assumptions!$F$10</f>
        <v>7454.41582421285</v>
      </c>
    </row>
    <row r="18" customFormat="false" ht="15" hidden="false" customHeight="true" outlineLevel="0" collapsed="false">
      <c r="A18" s="35" t="str">
        <f aca="false">Assumptions!A9</f>
        <v>CE</v>
      </c>
      <c r="B18" s="35" t="n">
        <f aca="false">Assumptions!B9</f>
        <v>1426</v>
      </c>
      <c r="C18" s="35" t="n">
        <f aca="false">Assumptions!C9</f>
        <v>218</v>
      </c>
      <c r="D18" s="36" t="n">
        <f aca="false">Assumptions!D9</f>
        <v>0.152875175315568</v>
      </c>
      <c r="E18" s="37" t="n">
        <f aca="false">Assumptions!$B$13</f>
        <v>0.0811</v>
      </c>
      <c r="F18" s="38" t="n">
        <f aca="false">MAX(C18-B18*E18,0)</f>
        <v>102.3514</v>
      </c>
      <c r="G18" s="39" t="n">
        <f aca="false">F18*Assumptions!$F$10</f>
        <v>19773.8973165617</v>
      </c>
    </row>
    <row r="19" customFormat="false" ht="15" hidden="false" customHeight="true" outlineLevel="0" collapsed="false">
      <c r="A19" s="31" t="s">
        <v>54</v>
      </c>
      <c r="B19" s="32"/>
      <c r="C19" s="32"/>
      <c r="D19" s="32"/>
      <c r="E19" s="32"/>
      <c r="F19" s="33" t="n">
        <f aca="false">SUM(F15:F18)</f>
        <v>307.4264</v>
      </c>
      <c r="G19" s="34" t="n">
        <f aca="false">SUM(G15:G18)</f>
        <v>59393.5995599496</v>
      </c>
    </row>
    <row r="22" customFormat="false" ht="15" hidden="false" customHeight="true" outlineLevel="0" collapsed="false">
      <c r="A22" s="16" t="s">
        <v>56</v>
      </c>
    </row>
    <row r="23" customFormat="false" ht="15" hidden="false" customHeight="true" outlineLevel="0" collapsed="false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52</v>
      </c>
      <c r="F23" s="9" t="s">
        <v>53</v>
      </c>
      <c r="G23" s="9" t="s">
        <v>21</v>
      </c>
    </row>
    <row r="24" customFormat="false" ht="15" hidden="false" customHeight="true" outlineLevel="0" collapsed="false">
      <c r="A24" s="40" t="str">
        <f aca="false">Assumptions!A6</f>
        <v>AL</v>
      </c>
      <c r="B24" s="40" t="n">
        <f aca="false">Assumptions!B6</f>
        <v>427</v>
      </c>
      <c r="C24" s="40" t="n">
        <f aca="false">Assumptions!C6</f>
        <v>103</v>
      </c>
      <c r="D24" s="41" t="n">
        <f aca="false">Assumptions!D6</f>
        <v>0.241217798594848</v>
      </c>
      <c r="E24" s="42" t="n">
        <f aca="false">Assumptions!$B$14</f>
        <v>0.029</v>
      </c>
      <c r="F24" s="43" t="n">
        <f aca="false">MAX(C24-B24*E24,0)</f>
        <v>90.617</v>
      </c>
      <c r="G24" s="44" t="n">
        <f aca="false">F24*Assumptions!$F$10</f>
        <v>17506.8563120277</v>
      </c>
    </row>
    <row r="25" customFormat="false" ht="15" hidden="false" customHeight="true" outlineLevel="0" collapsed="false">
      <c r="A25" s="40" t="str">
        <f aca="false">Assumptions!A7</f>
        <v>MA</v>
      </c>
      <c r="B25" s="40" t="n">
        <f aca="false">Assumptions!B7</f>
        <v>800</v>
      </c>
      <c r="C25" s="40" t="n">
        <f aca="false">Assumptions!C7</f>
        <v>163</v>
      </c>
      <c r="D25" s="41" t="n">
        <f aca="false">Assumptions!D7</f>
        <v>0.20375</v>
      </c>
      <c r="E25" s="42" t="n">
        <f aca="false">Assumptions!$B$14</f>
        <v>0.029</v>
      </c>
      <c r="F25" s="43" t="n">
        <f aca="false">MAX(C25-B25*E25,0)</f>
        <v>139.8</v>
      </c>
      <c r="G25" s="44" t="n">
        <f aca="false">F25*Assumptions!$F$10</f>
        <v>27008.8229848867</v>
      </c>
    </row>
    <row r="26" customFormat="false" ht="15" hidden="false" customHeight="true" outlineLevel="0" collapsed="false">
      <c r="A26" s="40" t="str">
        <f aca="false">Assumptions!A8</f>
        <v>PI</v>
      </c>
      <c r="B26" s="40" t="n">
        <f aca="false">Assumptions!B8</f>
        <v>523</v>
      </c>
      <c r="C26" s="40" t="n">
        <f aca="false">Assumptions!C8</f>
        <v>81</v>
      </c>
      <c r="D26" s="41" t="n">
        <f aca="false">Assumptions!D8</f>
        <v>0.154875717017208</v>
      </c>
      <c r="E26" s="42" t="n">
        <f aca="false">Assumptions!$B$14</f>
        <v>0.029</v>
      </c>
      <c r="F26" s="43" t="n">
        <f aca="false">MAX(C26-B26*E26,0)</f>
        <v>65.833</v>
      </c>
      <c r="G26" s="44" t="n">
        <f aca="false">F26*Assumptions!$F$10</f>
        <v>12718.6827150504</v>
      </c>
    </row>
    <row r="27" customFormat="false" ht="15" hidden="false" customHeight="true" outlineLevel="0" collapsed="false">
      <c r="A27" s="40" t="str">
        <f aca="false">Assumptions!A9</f>
        <v>CE</v>
      </c>
      <c r="B27" s="40" t="n">
        <f aca="false">Assumptions!B9</f>
        <v>1426</v>
      </c>
      <c r="C27" s="40" t="n">
        <f aca="false">Assumptions!C9</f>
        <v>218</v>
      </c>
      <c r="D27" s="41" t="n">
        <f aca="false">Assumptions!D9</f>
        <v>0.152875175315568</v>
      </c>
      <c r="E27" s="42" t="n">
        <f aca="false">Assumptions!$B$14</f>
        <v>0.029</v>
      </c>
      <c r="F27" s="43" t="n">
        <f aca="false">MAX(C27-B27*E27,0)</f>
        <v>176.646</v>
      </c>
      <c r="G27" s="44" t="n">
        <f aca="false">F27*Assumptions!$F$10</f>
        <v>34127.3286479849</v>
      </c>
    </row>
    <row r="28" customFormat="false" ht="15" hidden="false" customHeight="true" outlineLevel="0" collapsed="false">
      <c r="A28" s="31" t="s">
        <v>54</v>
      </c>
      <c r="B28" s="32"/>
      <c r="C28" s="32"/>
      <c r="D28" s="32"/>
      <c r="E28" s="32"/>
      <c r="F28" s="33" t="n">
        <f aca="false">SUM(F24:F27)</f>
        <v>472.896</v>
      </c>
      <c r="G28" s="34" t="n">
        <f aca="false">SUM(G24:G27)</f>
        <v>91361.6906599496</v>
      </c>
    </row>
    <row r="31" customFormat="false" ht="15" hidden="false" customHeight="true" outlineLevel="0" collapsed="false">
      <c r="A31" s="16" t="s">
        <v>57</v>
      </c>
    </row>
    <row r="32" customFormat="false" ht="15" hidden="false" customHeight="true" outlineLevel="0" collapsed="false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52</v>
      </c>
      <c r="F32" s="9" t="s">
        <v>53</v>
      </c>
      <c r="G32" s="9" t="s">
        <v>21</v>
      </c>
    </row>
    <row r="33" customFormat="false" ht="15" hidden="false" customHeight="true" outlineLevel="0" collapsed="false">
      <c r="A33" s="45" t="str">
        <f aca="false">Assumptions!A6</f>
        <v>AL</v>
      </c>
      <c r="B33" s="45" t="n">
        <f aca="false">Assumptions!B6</f>
        <v>427</v>
      </c>
      <c r="C33" s="45" t="n">
        <f aca="false">Assumptions!C6</f>
        <v>103</v>
      </c>
      <c r="D33" s="46" t="n">
        <f aca="false">Assumptions!D6</f>
        <v>0.241217798594848</v>
      </c>
      <c r="E33" s="47" t="n">
        <f aca="false">MAX(D33-Assumptions!$B$17/100,0)</f>
        <v>0.191217798594848</v>
      </c>
      <c r="F33" s="48" t="n">
        <f aca="false">MAX(C33-B33*E33,0)</f>
        <v>21.35</v>
      </c>
      <c r="G33" s="49" t="n">
        <f aca="false">F33*Assumptions!$F$10</f>
        <v>4124.73798803526</v>
      </c>
    </row>
    <row r="34" customFormat="false" ht="15" hidden="false" customHeight="true" outlineLevel="0" collapsed="false">
      <c r="A34" s="45" t="str">
        <f aca="false">Assumptions!A7</f>
        <v>MA</v>
      </c>
      <c r="B34" s="45" t="n">
        <f aca="false">Assumptions!B7</f>
        <v>800</v>
      </c>
      <c r="C34" s="45" t="n">
        <f aca="false">Assumptions!C7</f>
        <v>163</v>
      </c>
      <c r="D34" s="46" t="n">
        <f aca="false">Assumptions!D7</f>
        <v>0.20375</v>
      </c>
      <c r="E34" s="47" t="n">
        <f aca="false">MAX(D34-Assumptions!$B$17/100,0)</f>
        <v>0.15375</v>
      </c>
      <c r="F34" s="48" t="n">
        <f aca="false">MAX(C34-B34*E34,0)</f>
        <v>40</v>
      </c>
      <c r="G34" s="49" t="n">
        <f aca="false">F34*Assumptions!$F$10</f>
        <v>7727.84634760705</v>
      </c>
    </row>
    <row r="35" customFormat="false" ht="15" hidden="false" customHeight="true" outlineLevel="0" collapsed="false">
      <c r="A35" s="45" t="str">
        <f aca="false">Assumptions!A8</f>
        <v>PI</v>
      </c>
      <c r="B35" s="45" t="n">
        <f aca="false">Assumptions!B8</f>
        <v>523</v>
      </c>
      <c r="C35" s="45" t="n">
        <f aca="false">Assumptions!C8</f>
        <v>81</v>
      </c>
      <c r="D35" s="46" t="n">
        <f aca="false">Assumptions!D8</f>
        <v>0.154875717017208</v>
      </c>
      <c r="E35" s="47" t="n">
        <f aca="false">MAX(D35-Assumptions!$B$17/100,0)</f>
        <v>0.104875717017208</v>
      </c>
      <c r="F35" s="48" t="n">
        <f aca="false">MAX(C35-B35*E35,0)</f>
        <v>26.15</v>
      </c>
      <c r="G35" s="49" t="n">
        <f aca="false">F35*Assumptions!$F$10</f>
        <v>5052.07954974811</v>
      </c>
    </row>
    <row r="36" customFormat="false" ht="15" hidden="false" customHeight="true" outlineLevel="0" collapsed="false">
      <c r="A36" s="45" t="str">
        <f aca="false">Assumptions!A9</f>
        <v>CE</v>
      </c>
      <c r="B36" s="45" t="n">
        <f aca="false">Assumptions!B9</f>
        <v>1426</v>
      </c>
      <c r="C36" s="45" t="n">
        <f aca="false">Assumptions!C9</f>
        <v>218</v>
      </c>
      <c r="D36" s="46" t="n">
        <f aca="false">Assumptions!D9</f>
        <v>0.152875175315568</v>
      </c>
      <c r="E36" s="47" t="n">
        <f aca="false">MAX(D36-Assumptions!$B$17/100,0)</f>
        <v>0.102875175315568</v>
      </c>
      <c r="F36" s="48" t="n">
        <f aca="false">MAX(C36-B36*E36,0)</f>
        <v>71.3</v>
      </c>
      <c r="G36" s="49" t="n">
        <f aca="false">F36*Assumptions!$F$10</f>
        <v>13774.8861146096</v>
      </c>
    </row>
    <row r="37" customFormat="false" ht="15" hidden="false" customHeight="true" outlineLevel="0" collapsed="false">
      <c r="A37" s="31" t="s">
        <v>54</v>
      </c>
      <c r="B37" s="32"/>
      <c r="C37" s="32"/>
      <c r="D37" s="32"/>
      <c r="E37" s="32"/>
      <c r="F37" s="33" t="n">
        <f aca="false">SUM(F33:F36)</f>
        <v>158.8</v>
      </c>
      <c r="G37" s="34" t="n">
        <f aca="false">SUM(G33:G36)</f>
        <v>30679.55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2026-06-27T18:10:16Z</dcterms:created>
  <dc:creator>openpyxl</dc:creator>
  <dc:description/>
  <dc:language>en-US</dc:language>
  <cp:lastModifiedBy/>
  <dcterms:modified xsi:type="dcterms:W3CDTF">2026-06-28T12:56:43Z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